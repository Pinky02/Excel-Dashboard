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genAI\excel-tutorial\"/>
    </mc:Choice>
  </mc:AlternateContent>
  <xr:revisionPtr revIDLastSave="0" documentId="8_{9EC72532-9D6A-4C21-A077-06487625D7EF}" xr6:coauthVersionLast="47" xr6:coauthVersionMax="47" xr10:uidLastSave="{00000000-0000-0000-0000-000000000000}"/>
  <bookViews>
    <workbookView xWindow="-120" yWindow="-120" windowWidth="29040" windowHeight="15720" xr2:uid="{107E7BAC-DA4D-4884-9BB3-844E1F2A0C05}"/>
  </bookViews>
  <sheets>
    <sheet name="Inventory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3" i="1" l="1"/>
  <c r="H13" i="1"/>
  <c r="I13" i="1"/>
  <c r="J13" i="1"/>
  <c r="K13" i="1"/>
  <c r="L13" i="1"/>
  <c r="M13" i="1"/>
  <c r="F13" i="1"/>
  <c r="M3" i="1"/>
  <c r="M4" i="1"/>
  <c r="M5" i="1"/>
  <c r="M6" i="1"/>
  <c r="M7" i="1"/>
  <c r="M8" i="1"/>
  <c r="M9" i="1"/>
  <c r="M10" i="1"/>
  <c r="M11" i="1"/>
  <c r="M2" i="1"/>
  <c r="A4" i="1"/>
  <c r="A5" i="1" s="1"/>
  <c r="A6" i="1" s="1"/>
  <c r="A7" i="1" s="1"/>
  <c r="A8" i="1" s="1"/>
  <c r="A9" i="1" s="1"/>
  <c r="A10" i="1" s="1"/>
  <c r="A11" i="1" s="1"/>
  <c r="A3" i="1"/>
  <c r="H3" i="1"/>
  <c r="H4" i="1"/>
  <c r="H5" i="1"/>
  <c r="J5" i="1" s="1"/>
  <c r="H6" i="1"/>
  <c r="I6" i="1" s="1"/>
  <c r="H7" i="1"/>
  <c r="I7" i="1" s="1"/>
  <c r="H8" i="1"/>
  <c r="I8" i="1" s="1"/>
  <c r="H9" i="1"/>
  <c r="I9" i="1" s="1"/>
  <c r="H10" i="1"/>
  <c r="J10" i="1" s="1"/>
  <c r="H11" i="1"/>
  <c r="J11" i="1" s="1"/>
  <c r="H2" i="1"/>
  <c r="J8" i="1" l="1"/>
  <c r="J7" i="1"/>
  <c r="J6" i="1"/>
  <c r="J9" i="1"/>
  <c r="I5" i="1"/>
  <c r="I2" i="1"/>
  <c r="I4" i="1"/>
  <c r="I11" i="1"/>
  <c r="I3" i="1"/>
  <c r="I10" i="1"/>
  <c r="J2" i="1"/>
  <c r="J4" i="1"/>
  <c r="J3" i="1"/>
</calcChain>
</file>

<file path=xl/sharedStrings.xml><?xml version="1.0" encoding="utf-8"?>
<sst xmlns="http://schemas.openxmlformats.org/spreadsheetml/2006/main" count="34" uniqueCount="26">
  <si>
    <t>Serial No.</t>
  </si>
  <si>
    <t>Supplier Name</t>
  </si>
  <si>
    <t>AJ Supplier</t>
  </si>
  <si>
    <t>Bhavani Supplier</t>
  </si>
  <si>
    <t>Product Name</t>
  </si>
  <si>
    <t>Date of Purchase</t>
  </si>
  <si>
    <t>Date of Expiry</t>
  </si>
  <si>
    <t>Qty</t>
  </si>
  <si>
    <t>Total Amount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</si>
  <si>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</si>
  <si>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</si>
  <si>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</si>
  <si>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</si>
  <si>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</si>
  <si>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</si>
  <si>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</si>
  <si>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</si>
  <si>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</si>
  <si>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</si>
  <si>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Cost Price</t>
  </si>
  <si>
    <t>Amount after GST</t>
  </si>
  <si>
    <t>SGST(8%)</t>
  </si>
  <si>
    <t>CGST(12%)</t>
  </si>
  <si>
    <t>Selling Price</t>
  </si>
  <si>
    <t>Total Sales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</si>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</sst>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" fontId="0" fillId="0" borderId="0" xfId="0" applyNumberFormat="1"/>
    <xf numFmtId="0" fontId="0" fillId="2" borderId="0" xfId="0" applyFill="1"/>
    <xf numFmtId="0" fontId="0" fillId="0" borderId="1" xfId="0" applyBorder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5F971-053F-4652-8DB0-B00A8048CED1}">
  <sheetPr codeName="Sheet1"/>
  <dimension ref="A1:M13"/>
  <sheetViews>
    <sheetView tabSelected="1" workbookViewId="0">
      <selection activeCell="C12" sqref="C12"/>
    </sheetView>
  </sheetViews>
  <sheetFormatPr defaultRowHeight="15" x14ac:dyDescent="0.25"/>
  <cols>
    <col min="2" max="2" width="27.42578125" customWidth="1"/>
    <col min="3" max="3" width="19.85546875" customWidth="1"/>
    <col min="4" max="4" width="18.140625" customWidth="1"/>
    <col min="5" max="5" width="19" customWidth="1"/>
    <col min="7" max="7" width="27.5703125" customWidth="1"/>
    <col min="8" max="8" width="17.7109375" customWidth="1"/>
    <col min="9" max="9" width="15.28515625" customWidth="1"/>
    <col min="10" max="11" width="17.85546875" customWidth="1"/>
    <col min="12" max="12" width="18.5703125" customWidth="1"/>
    <col min="13" max="13" width="18.140625" customWidth="1"/>
  </cols>
  <sheetData>
    <row r="1" spans="1:13" x14ac:dyDescent="0.25">
      <c r="A1" s="3" t="s">
        <v>0</v>
      </c>
      <c r="B1" s="3" t="s">
        <v>1</v>
      </c>
      <c r="C1" s="3" t="s">
        <v>4</v>
      </c>
      <c r="D1" s="5" t="s">
        <v>5</v>
      </c>
      <c r="E1" s="5" t="s">
        <v>6</v>
      </c>
      <c r="F1" s="3" t="s">
        <v>7</v>
      </c>
      <c r="G1" s="5" t="s">
        <v>19</v>
      </c>
      <c r="H1" s="5" t="s">
        <v>8</v>
      </c>
      <c r="I1" s="5" t="s">
        <v>22</v>
      </c>
      <c r="J1" s="5" t="s">
        <v>21</v>
      </c>
      <c r="K1" s="5" t="s">
        <v>20</v>
      </c>
      <c r="L1" s="3" t="s">
        <v>23</v>
      </c>
      <c r="M1" s="3" t="s">
        <v>24</v>
      </c>
    </row>
    <row r="2" spans="1:13" x14ac:dyDescent="0.25">
      <c r="A2">
        <v>1</v>
      </c>
      <c r="B2" t="s">
        <v>2</v>
      </c>
      <c r="C2" t="s">
        <v>9</v>
      </c>
      <c r="D2" s="1">
        <v>46190</v>
      </c>
      <c r="E2" s="1">
        <v>46220</v>
      </c>
      <c r="F2">
        <v>12</v>
      </c>
      <c r="G2">
        <v>137</v>
      </c>
      <c r="H2">
        <f>F2+G2</f>
        <v>149</v>
      </c>
      <c r="I2" s="2">
        <f>H2*12%</f>
        <v>17.88</v>
      </c>
      <c r="J2" s="2">
        <f>H2*8%</f>
        <v>11.92</v>
      </c>
      <c r="K2" s="2">
        <v>178.79999999999998</v>
      </c>
      <c r="L2">
        <v>150</v>
      </c>
      <c r="M2">
        <f>F2*L2</f>
        <v>1800</v>
      </c>
    </row>
    <row r="3" spans="1:13" x14ac:dyDescent="0.25">
      <c r="A3">
        <f>A2+1</f>
        <v>2</v>
      </c>
      <c r="B3" t="s">
        <v>2</v>
      </c>
      <c r="C3" t="s">
        <v>10</v>
      </c>
      <c r="D3" s="1">
        <v>46190</v>
      </c>
      <c r="E3" s="1">
        <v>46220</v>
      </c>
      <c r="F3">
        <v>32</v>
      </c>
      <c r="G3">
        <v>112</v>
      </c>
      <c r="H3">
        <f t="shared" ref="H3:H11" si="0">F3+G3</f>
        <v>144</v>
      </c>
      <c r="I3" s="2">
        <f t="shared" ref="I3:I11" si="1">H3*12%</f>
        <v>17.28</v>
      </c>
      <c r="J3" s="2">
        <f t="shared" ref="J3:J11" si="2">H3*8%</f>
        <v>11.52</v>
      </c>
      <c r="K3" s="2">
        <v>172.8</v>
      </c>
      <c r="L3">
        <v>125</v>
      </c>
      <c r="M3">
        <f t="shared" ref="M3:M11" si="3">F3*L3</f>
        <v>4000</v>
      </c>
    </row>
    <row r="4" spans="1:13" x14ac:dyDescent="0.25">
      <c r="A4">
        <f t="shared" ref="A4:A11" si="4">A3+1</f>
        <v>3</v>
      </c>
      <c r="B4" t="s">
        <v>2</v>
      </c>
      <c r="C4" t="s">
        <v>11</v>
      </c>
      <c r="D4" s="1">
        <v>46190</v>
      </c>
      <c r="E4" s="1">
        <v>46220</v>
      </c>
      <c r="F4">
        <v>15</v>
      </c>
      <c r="G4">
        <v>100</v>
      </c>
      <c r="H4">
        <f t="shared" si="0"/>
        <v>115</v>
      </c>
      <c r="I4" s="2">
        <f t="shared" si="1"/>
        <v>13.799999999999999</v>
      </c>
      <c r="J4" s="2">
        <f t="shared" si="2"/>
        <v>9.2000000000000011</v>
      </c>
      <c r="K4" s="2">
        <v>138</v>
      </c>
      <c r="L4">
        <v>120</v>
      </c>
      <c r="M4">
        <f t="shared" si="3"/>
        <v>1800</v>
      </c>
    </row>
    <row r="5" spans="1:13" x14ac:dyDescent="0.25">
      <c r="A5">
        <f t="shared" si="4"/>
        <v>4</v>
      </c>
      <c r="B5" t="s">
        <v>2</v>
      </c>
      <c r="C5" t="s">
        <v>12</v>
      </c>
      <c r="D5" s="1">
        <v>46190</v>
      </c>
      <c r="E5" s="1">
        <v>46220</v>
      </c>
      <c r="F5">
        <v>54</v>
      </c>
      <c r="G5">
        <v>105</v>
      </c>
      <c r="H5">
        <f t="shared" si="0"/>
        <v>159</v>
      </c>
      <c r="I5" s="2">
        <f t="shared" si="1"/>
        <v>19.079999999999998</v>
      </c>
      <c r="J5" s="2">
        <f t="shared" si="2"/>
        <v>12.72</v>
      </c>
      <c r="K5" s="2">
        <v>190.79999999999998</v>
      </c>
      <c r="L5">
        <v>130</v>
      </c>
      <c r="M5">
        <f t="shared" si="3"/>
        <v>7020</v>
      </c>
    </row>
    <row r="6" spans="1:13" x14ac:dyDescent="0.25">
      <c r="A6">
        <f t="shared" si="4"/>
        <v>5</v>
      </c>
      <c r="B6" t="s">
        <v>2</v>
      </c>
      <c r="C6" t="s">
        <v>13</v>
      </c>
      <c r="D6" s="1">
        <v>46190</v>
      </c>
      <c r="E6" s="1">
        <v>46220</v>
      </c>
      <c r="F6">
        <v>23</v>
      </c>
      <c r="G6">
        <v>117</v>
      </c>
      <c r="H6">
        <f t="shared" si="0"/>
        <v>140</v>
      </c>
      <c r="I6" s="2">
        <f t="shared" si="1"/>
        <v>16.8</v>
      </c>
      <c r="J6" s="2">
        <f t="shared" si="2"/>
        <v>11.200000000000001</v>
      </c>
      <c r="K6" s="2">
        <v>168</v>
      </c>
      <c r="L6">
        <v>135</v>
      </c>
      <c r="M6">
        <f t="shared" si="3"/>
        <v>3105</v>
      </c>
    </row>
    <row r="7" spans="1:13" x14ac:dyDescent="0.25">
      <c r="A7">
        <f t="shared" si="4"/>
        <v>6</v>
      </c>
      <c r="B7" t="s">
        <v>3</v>
      </c>
      <c r="C7" t="s">
        <v>14</v>
      </c>
      <c r="D7" s="1">
        <v>46191</v>
      </c>
      <c r="E7" s="1">
        <v>46191</v>
      </c>
      <c r="F7">
        <v>11</v>
      </c>
      <c r="G7">
        <v>81</v>
      </c>
      <c r="H7">
        <f t="shared" si="0"/>
        <v>92</v>
      </c>
      <c r="I7" s="2">
        <f t="shared" si="1"/>
        <v>11.04</v>
      </c>
      <c r="J7" s="2">
        <f t="shared" si="2"/>
        <v>7.36</v>
      </c>
      <c r="K7" s="2">
        <v>110.39999999999999</v>
      </c>
      <c r="L7">
        <v>100</v>
      </c>
      <c r="M7">
        <f t="shared" si="3"/>
        <v>1100</v>
      </c>
    </row>
    <row r="8" spans="1:13" x14ac:dyDescent="0.25">
      <c r="A8">
        <f t="shared" si="4"/>
        <v>7</v>
      </c>
      <c r="B8" t="s">
        <v>3</v>
      </c>
      <c r="C8" t="s">
        <v>15</v>
      </c>
      <c r="D8" s="1">
        <v>46191</v>
      </c>
      <c r="E8" s="1">
        <v>46191</v>
      </c>
      <c r="F8">
        <v>7</v>
      </c>
      <c r="G8">
        <v>92</v>
      </c>
      <c r="H8">
        <f t="shared" si="0"/>
        <v>99</v>
      </c>
      <c r="I8" s="2">
        <f t="shared" si="1"/>
        <v>11.879999999999999</v>
      </c>
      <c r="J8" s="2">
        <f t="shared" si="2"/>
        <v>7.92</v>
      </c>
      <c r="K8" s="2">
        <v>118.8</v>
      </c>
      <c r="L8">
        <v>105</v>
      </c>
      <c r="M8">
        <f t="shared" si="3"/>
        <v>735</v>
      </c>
    </row>
    <row r="9" spans="1:13" x14ac:dyDescent="0.25">
      <c r="A9">
        <f t="shared" si="4"/>
        <v>8</v>
      </c>
      <c r="B9" t="s">
        <v>3</v>
      </c>
      <c r="C9" t="s">
        <v>16</v>
      </c>
      <c r="D9" s="1">
        <v>46191</v>
      </c>
      <c r="E9" s="1">
        <v>46191</v>
      </c>
      <c r="F9">
        <v>31</v>
      </c>
      <c r="G9">
        <v>165</v>
      </c>
      <c r="H9">
        <f t="shared" si="0"/>
        <v>196</v>
      </c>
      <c r="I9" s="2">
        <f t="shared" si="1"/>
        <v>23.52</v>
      </c>
      <c r="J9" s="2">
        <f t="shared" si="2"/>
        <v>15.68</v>
      </c>
      <c r="K9" s="2">
        <v>235.20000000000002</v>
      </c>
      <c r="L9">
        <v>195</v>
      </c>
      <c r="M9">
        <f t="shared" si="3"/>
        <v>6045</v>
      </c>
    </row>
    <row r="10" spans="1:13" x14ac:dyDescent="0.25">
      <c r="A10">
        <f t="shared" si="4"/>
        <v>9</v>
      </c>
      <c r="B10" t="s">
        <v>3</v>
      </c>
      <c r="C10" t="s">
        <v>17</v>
      </c>
      <c r="D10" s="1">
        <v>46191</v>
      </c>
      <c r="E10" s="1">
        <v>46191</v>
      </c>
      <c r="F10">
        <v>42</v>
      </c>
      <c r="G10">
        <v>177</v>
      </c>
      <c r="H10">
        <f t="shared" si="0"/>
        <v>219</v>
      </c>
      <c r="I10" s="2">
        <f t="shared" si="1"/>
        <v>26.279999999999998</v>
      </c>
      <c r="J10" s="2">
        <f t="shared" si="2"/>
        <v>17.52</v>
      </c>
      <c r="K10" s="2">
        <v>262.8</v>
      </c>
      <c r="L10">
        <v>198</v>
      </c>
      <c r="M10">
        <f t="shared" si="3"/>
        <v>8316</v>
      </c>
    </row>
    <row r="11" spans="1:13" x14ac:dyDescent="0.25">
      <c r="A11">
        <f t="shared" si="4"/>
        <v>10</v>
      </c>
      <c r="B11" t="s">
        <v>3</v>
      </c>
      <c r="C11" t="s">
        <v>18</v>
      </c>
      <c r="D11" s="1">
        <v>46191</v>
      </c>
      <c r="E11" s="1">
        <v>46191</v>
      </c>
      <c r="F11">
        <v>23</v>
      </c>
      <c r="G11">
        <v>80</v>
      </c>
      <c r="H11">
        <f t="shared" si="0"/>
        <v>103</v>
      </c>
      <c r="I11" s="2">
        <f t="shared" si="1"/>
        <v>12.36</v>
      </c>
      <c r="J11" s="2">
        <f t="shared" si="2"/>
        <v>8.24</v>
      </c>
      <c r="K11" s="2">
        <v>123.6</v>
      </c>
      <c r="L11">
        <v>123</v>
      </c>
      <c r="M11">
        <f t="shared" si="3"/>
        <v>2829</v>
      </c>
    </row>
    <row r="12" spans="1:13" x14ac:dyDescent="0.25">
      <c r="E12" s="1"/>
    </row>
    <row r="13" spans="1:13" x14ac:dyDescent="0.25">
      <c r="A13" s="4" t="s">
        <v>25</v>
      </c>
      <c r="B13" s="4"/>
      <c r="C13" s="4"/>
      <c r="D13" s="4"/>
      <c r="E13" s="4"/>
      <c r="F13" s="4">
        <f>SUM(F2:F11)</f>
        <v>250</v>
      </c>
      <c r="G13" s="4">
        <f t="shared" ref="G13:M13" si="5">SUM(G2:G11)</f>
        <v>1166</v>
      </c>
      <c r="H13" s="4">
        <f t="shared" si="5"/>
        <v>1416</v>
      </c>
      <c r="I13" s="4">
        <f t="shared" si="5"/>
        <v>169.92000000000002</v>
      </c>
      <c r="J13" s="4">
        <f t="shared" si="5"/>
        <v>113.28</v>
      </c>
      <c r="K13" s="4">
        <f t="shared" si="5"/>
        <v>1699.1999999999998</v>
      </c>
      <c r="L13" s="4">
        <f t="shared" si="5"/>
        <v>1381</v>
      </c>
      <c r="M13" s="4">
        <f t="shared" si="5"/>
        <v>36750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7BFE9-7F28-47F6-92B0-93035042DF1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mahendra sharma</dc:creator>
  <cp:lastModifiedBy>mahendra sharma</cp:lastModifiedBy>
  <dcterms:created xsi:type="dcterms:W3CDTF">2026-06-19T02:59:18Z</dcterms:created>
  <dcterms:modified xsi:type="dcterms:W3CDTF">2026-06-26T02:49:50Z</dcterms:modified>
</cp:coreProperties>
</file>